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AI by Mihir\AI End Term\"/>
    </mc:Choice>
  </mc:AlternateContent>
  <xr:revisionPtr revIDLastSave="0" documentId="13_ncr:1_{F75D7297-ACD4-4F00-82CD-D7E5CDAC8F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ponents Map" sheetId="1" r:id="rId1"/>
    <sheet name="Examiner review" sheetId="2" r:id="rId2"/>
    <sheet name="Booklet chec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3" l="1"/>
  <c r="B23" i="3"/>
  <c r="B25" i="3" s="1"/>
  <c r="D24" i="2"/>
  <c r="D23" i="2"/>
  <c r="E23" i="2" s="1"/>
  <c r="E22" i="2"/>
  <c r="D22" i="2"/>
  <c r="D21" i="2"/>
  <c r="E21" i="2" s="1"/>
  <c r="D20" i="2"/>
  <c r="E20" i="2" s="1"/>
  <c r="D19" i="2"/>
  <c r="E19" i="2" s="1"/>
  <c r="E18" i="2"/>
  <c r="D18" i="2"/>
  <c r="G14" i="2"/>
  <c r="I14" i="2" s="1"/>
  <c r="F14" i="2"/>
  <c r="E14" i="2"/>
  <c r="G13" i="2"/>
  <c r="I13" i="2" s="1"/>
  <c r="F13" i="2"/>
  <c r="E13" i="2"/>
  <c r="G12" i="2"/>
  <c r="I12" i="2" s="1"/>
  <c r="F12" i="2"/>
  <c r="E12" i="2"/>
  <c r="G11" i="2"/>
  <c r="I11" i="2" s="1"/>
  <c r="F11" i="2"/>
  <c r="E11" i="2"/>
  <c r="G10" i="2"/>
  <c r="I10" i="2" s="1"/>
  <c r="F10" i="2"/>
  <c r="E10" i="2"/>
  <c r="G9" i="2"/>
  <c r="I9" i="2" s="1"/>
  <c r="F9" i="2"/>
  <c r="E9" i="2"/>
  <c r="G8" i="2"/>
  <c r="I8" i="2" s="1"/>
  <c r="F8" i="2"/>
  <c r="E8" i="2"/>
  <c r="G7" i="2"/>
  <c r="I7" i="2" s="1"/>
  <c r="F7" i="2"/>
  <c r="E7" i="2"/>
  <c r="G6" i="2"/>
  <c r="I6" i="2" s="1"/>
  <c r="F6" i="2"/>
  <c r="E6" i="2"/>
  <c r="B25" i="2" l="1"/>
</calcChain>
</file>

<file path=xl/sharedStrings.xml><?xml version="1.0" encoding="utf-8"?>
<sst xmlns="http://schemas.openxmlformats.org/spreadsheetml/2006/main" count="243" uniqueCount="201">
  <si>
    <t>Newsletter Agent — Components Map</t>
  </si>
  <si>
    <t>Weekly flow of the Indian-startup newsletter agent · read left to right, then down the Output column · one arrow = one hand-off</t>
  </si>
  <si>
    <t>Actor</t>
  </si>
  <si>
    <t>Trigger</t>
  </si>
  <si>
    <t>Input</t>
  </si>
  <si>
    <t>Context</t>
  </si>
  <si>
    <t>Processing</t>
  </si>
  <si>
    <t>AI</t>
  </si>
  <si>
    <t>Output</t>
  </si>
  <si>
    <t>VERCEL CRON
(Scheduler)</t>
  </si>
  <si>
    <t>1 · TRIGGER
Cron fires with no human: Mon–Wed to collect, Wed 2:30 PM to select.</t>
  </si>
  <si>
    <t>GEMINI FLASH
(AI)</t>
  </si>
  <si>
    <t>5 · SELECT + WRITE (AI)
Gemini picks 8–10 stories + backups (high signal, 3+ topics, none in last 4 issues) and drafts 2–3 lines each in Shreya's voice.</t>
  </si>
  <si>
    <t>BACKEND
(Next.js · code)</t>
  </si>
  <si>
    <t>4 · PROCESS (code)
Dedupes by URL + title match within the week; drops anything in the last 4 issues. Marks new or seen.</t>
  </si>
  <si>
    <t>NEON POSTGRES
(Database)</t>
  </si>
  <si>
    <t>3 · CONTEXT
Feeds steps 4 + 5. Returns last 4 issues, this week's articles + style guide (seeded with sample data).</t>
  </si>
  <si>
    <t>REVIEW GATE
(Shreya · Telegram)</t>
  </si>
  <si>
    <t>SEND GATE
(Code · approval check)</t>
  </si>
  <si>
    <t>8 · GATE (code)
Thu 8 AM: passes only if status = confirmed and text unchanged since. Else holds + alerts her.</t>
  </si>
  <si>
    <t>RESEND
(Email)</t>
  </si>
  <si>
    <t>9 · OUTPUT (send)
Builds HTML email with unsubscribe link, sends (demo: own inbox). Resend bounce webhook + unsubscribes update the Neon list.</t>
  </si>
  <si>
    <t>Problems covered</t>
  </si>
  <si>
    <t>P12</t>
  </si>
  <si>
    <t>P1 · P2 (store)</t>
  </si>
  <si>
    <t>P11</t>
  </si>
  <si>
    <t>P2</t>
  </si>
  <si>
    <t>P3 · P4</t>
  </si>
  <si>
    <t>P3 · P5 · P6 · P7 · P8 · P9 · P10</t>
  </si>
  <si>
    <t>Legend</t>
  </si>
  <si>
    <t>Context / DB</t>
  </si>
  <si>
    <t>Code step</t>
  </si>
  <si>
    <t>AI step</t>
  </si>
  <si>
    <t>Human step</t>
  </si>
  <si>
    <t>Only six column headers are used (Trigger, Input, Context, Processing, AI, Output). Everything after the AI is a stacked chain in the Output column: draft → Shreya decides → code gate → send.</t>
  </si>
  <si>
    <t>Loops not drawn, to keep one arrow per step: Swap on Telegram pulls a backup story from the bench (commentary already written in step 5). Any edit after confirming sends the draft back to step 7.</t>
  </si>
  <si>
    <t>How to edit: cut/paste a box into the right actor row and stage column, then drag the arrow ends. Arrows are shapes, so they do not move with cells. The 'Examiner review' tab re-checks placement live.</t>
  </si>
  <si>
    <t>Examiner review — devil's advocate check</t>
  </si>
  <si>
    <t>Part A re-checks box placement with formulas (edit the map and these update). Part B is the written cross-examination.</t>
  </si>
  <si>
    <t>Part A · Placement check</t>
  </si>
  <si>
    <t>Step</t>
  </si>
  <si>
    <t>Expected cell</t>
  </si>
  <si>
    <t>Row #</t>
  </si>
  <si>
    <t>Col #</t>
  </si>
  <si>
    <t>Actor found at that row</t>
  </si>
  <si>
    <t>Stage found at that col</t>
  </si>
  <si>
    <t>Box in that cell?</t>
  </si>
  <si>
    <t>Arrow to next step</t>
  </si>
  <si>
    <t>Result</t>
  </si>
  <si>
    <t>B5</t>
  </si>
  <si>
    <t>B5 → right, then down → C7</t>
  </si>
  <si>
    <t>C7</t>
  </si>
  <si>
    <t>C7 → right, then down → D8</t>
  </si>
  <si>
    <t>D8</t>
  </si>
  <si>
    <t>D8 → right, then up → E7</t>
  </si>
  <si>
    <t>E7</t>
  </si>
  <si>
    <t>E7 → right, then up → F6</t>
  </si>
  <si>
    <t>F6</t>
  </si>
  <si>
    <t>F6 → right, then down → G7</t>
  </si>
  <si>
    <t>G7</t>
  </si>
  <si>
    <t>G7 → straight down → G9</t>
  </si>
  <si>
    <t>G9</t>
  </si>
  <si>
    <t>G9 → straight down → G10</t>
  </si>
  <si>
    <t>G10</t>
  </si>
  <si>
    <t>G10 → straight down → G11</t>
  </si>
  <si>
    <t>G11</t>
  </si>
  <si>
    <t>End</t>
  </si>
  <si>
    <t>Boxes per stage column</t>
  </si>
  <si>
    <t>Stage</t>
  </si>
  <si>
    <t>Expected</t>
  </si>
  <si>
    <t>Found</t>
  </si>
  <si>
    <t>Total boxes on map (must be 9)</t>
  </si>
  <si>
    <t>Overall:</t>
  </si>
  <si>
    <t>Part B · Cross-examination</t>
  </si>
  <si>
    <t>#</t>
  </si>
  <si>
    <t>Examiner question</t>
  </si>
  <si>
    <t>Verdict</t>
  </si>
  <si>
    <t>Evidence on the map</t>
  </si>
  <si>
    <t>Why it matters / fix</t>
  </si>
  <si>
    <t>Is every step in the right actor row and stage column?</t>
  </si>
  <si>
    <t>PASS</t>
  </si>
  <si>
    <t>Part A formulas: 9/9 boxes in the expected cells; column counts match 1-1-1-1-1-4.</t>
  </si>
  <si>
    <t>Re-run by editing the map; the check updates itself.</t>
  </si>
  <si>
    <t>Only six column headers — does the flow still read sequentially?</t>
  </si>
  <si>
    <t>Steps 1–5 move one column right each. Steps 6–9 run down the Output column.</t>
  </si>
  <si>
    <t>Arrows: 5 elbows, 3 straight down. No branches.</t>
  </si>
  <si>
    <t>Booklet: 'Gemini picks eight to ten stories'. Does Gemini do the selection?</t>
  </si>
  <si>
    <t>Step 5: Gemini picks and writes. Step 6 code only validates and re-asks.</t>
  </si>
  <si>
    <t>Keep code as a checker, never the picker.</t>
  </si>
  <si>
    <t>Booklet: 'storing each article'. Where are articles stored?</t>
  </si>
  <si>
    <t>Step 2 writes every article to Neon; step 3 reads them back; step 4 dedupes.</t>
  </si>
  <si>
    <t>Store canonical URL, topic and week ID.</t>
  </si>
  <si>
    <t>Dedupe within the week AND across the last 4 newsletters?</t>
  </si>
  <si>
    <t>Step 4 compares inside the week and against the last 4 issues from step 3.</t>
  </si>
  <si>
    <t>Keep sent stories with issue IDs.</t>
  </si>
  <si>
    <t>Can the AI send the newsletter?</t>
  </si>
  <si>
    <t>AI box (5) only selects and drafts. Code gate (8) alone triggers Resend (9).</t>
  </si>
  <si>
    <t>Gemini gets no email tool.</t>
  </si>
  <si>
    <t>Is 'never send without permission' enforceable, or a promise?</t>
  </si>
  <si>
    <t>Step 8 is its own code box: status = confirmed AND text unchanged since confirm.</t>
  </si>
  <si>
    <t>Hash the final text at confirm time; compare at send.</t>
  </si>
  <si>
    <t>Is the Output column overloaded with four boxes?</t>
  </si>
  <si>
    <t>WEAK</t>
  </si>
  <si>
    <t>Forced by the six fixed headers: draft, decision, gate and send all happen after the AI.</t>
  </si>
  <si>
    <t>Say in the report that Output is a time-ordered chain, read top to bottom.</t>
  </si>
  <si>
    <t>Select and write in one AI box — doesn't that mix two jobs?</t>
  </si>
  <si>
    <t>Step 5 does selection and commentary in one call; a bad pick wastes the writing.</t>
  </si>
  <si>
    <t>One call returns JSON: picks, backups and commentary. Swaps reuse backup text, no second call.</t>
  </si>
  <si>
    <t>'High signal relative to this week's batch' — real or hand-waved?</t>
  </si>
  <si>
    <t>Step 5 says it, but picking article by article makes 'relative' meaningless.</t>
  </si>
  <si>
    <t>Send the whole batch (title + snippet) in ONE call and force structured output.</t>
  </si>
  <si>
    <t>Can the model invent facts in Shreya's voice?</t>
  </si>
  <si>
    <t>Step 5 drafts commentary; nothing checks facts.</t>
  </si>
  <si>
    <t>Add a check in step 6: every number or name in the commentary must appear in the source article.</t>
  </si>
  <si>
    <t>Booklet: reminder at Wednesday 10 PM. Where is it?</t>
  </si>
  <si>
    <t>Only in step 7's text; it is a separate cron call.</t>
  </si>
  <si>
    <t>Acceptable with the footnote; keep a distinct cron route for it.</t>
  </si>
  <si>
    <t>Booklet: 'Unsubscribes from Gmail bounces handled gracefully'. Covered?</t>
  </si>
  <si>
    <t>Step 9 text: unsubscribe link plus Resend bounce webhook updating Neon. No arrow back.</t>
  </si>
  <si>
    <t>You chose Resend, but the booklet mentions Gmail. State that decision in the report. Free Resend only delivers to your own address, so test bounces with simulated webhook events.</t>
  </si>
  <si>
    <t>What happens when something fails (feed down, fewer than 8 valid stories, Telegram error)?</t>
  </si>
  <si>
    <t>GAP</t>
  </si>
  <si>
    <t>Map shows the happy path only.</t>
  </si>
  <si>
    <t>Write failure rules: skip dead feeds, tell Shreya if under 8 valid stories rather than padding, retry Telegram once.</t>
  </si>
  <si>
    <t>What does the public URL do in this flow?</t>
  </si>
  <si>
    <t>Footnote: dashboard, unsubscribe page and webhook endpoint live there; no browser actor drawn.</t>
  </si>
  <si>
    <t>Build those three pages so the URL is not empty. Add a Browser row only if your examiner expects one.</t>
  </si>
  <si>
    <t>Booklet: 'must work with some data at submission'. Is there seed data?</t>
  </si>
  <si>
    <t>Step 3 says seeded with sample data; nothing shows the seed itself.</t>
  </si>
  <si>
    <t>Seed 4 past issues, the style guide and test subscribers (your own address).</t>
  </si>
  <si>
    <t>How do you prove live data at submission time?</t>
  </si>
  <si>
    <t>Step 2 fetches at run time, but nothing shows a proof trail.</t>
  </si>
  <si>
    <t>Show run logs on the dashboard and keep an admin 'Run now' route for the demo.</t>
  </si>
  <si>
    <t>Gemini Flash only?</t>
  </si>
  <si>
    <t>One AI box, Gemini Flash. Dedupe is code, not an embedding model.</t>
  </si>
  <si>
    <t>Keep the model ID in an environment variable.</t>
  </si>
  <si>
    <t>Overall: the flow is structurally correct and defensible within the six fixed columns. The weaknesses are documentation gaps (failure paths, the frontend's role, controls on AI output), not a wrong sequence. Fix the one GAP row (failure paths) and settle the Resend-versus-Gmail wording before submission.</t>
  </si>
  <si>
    <t>Booklet check — Problem Statement 17 vs the map</t>
  </si>
  <si>
    <t>Each requirement is paraphrased from the booklet. Status is after the fixes in this version.</t>
  </si>
  <si>
    <t>Booklet requirement</t>
  </si>
  <si>
    <t>Where on the map</t>
  </si>
  <si>
    <t>Status</t>
  </si>
  <si>
    <t>Note</t>
  </si>
  <si>
    <t>Mon to Wed: ingest from multiple RSS feeds and news API queries</t>
  </si>
  <si>
    <t>Step 1 trigger, step 2 input</t>
  </si>
  <si>
    <t>Covered</t>
  </si>
  <si>
    <t>Live data at run time.</t>
  </si>
  <si>
    <t>Store each article; no duplicates within a week</t>
  </si>
  <si>
    <t>Steps 2, 4</t>
  </si>
  <si>
    <t>Canonical URL + title match.</t>
  </si>
  <si>
    <t>No duplicates across the previous four newsletters</t>
  </si>
  <si>
    <t>Steps 3, 4</t>
  </si>
  <si>
    <t>Past issues read from Neon.</t>
  </si>
  <si>
    <t>Wednesday afternoon: Gemini selects 8 to 10 stories</t>
  </si>
  <si>
    <t>Step 5</t>
  </si>
  <si>
    <t>Gemini picks; code only validates (step 6).</t>
  </si>
  <si>
    <t>High signal-to-noise relative to this week's batch</t>
  </si>
  <si>
    <t>Partial</t>
  </si>
  <si>
    <t>Needs the whole batch in one call to be genuinely relative.</t>
  </si>
  <si>
    <t>Not covered in the last four newsletters</t>
  </si>
  <si>
    <t>Steps 4, 5, 6</t>
  </si>
  <si>
    <t>Filtered before Gemini, checked after.</t>
  </si>
  <si>
    <t>Collectively span at least three topic areas</t>
  </si>
  <si>
    <t>Steps 5, 6</t>
  </si>
  <si>
    <t>Gemini aims for it; code enforces it.</t>
  </si>
  <si>
    <t>2 to 3 lines of commentary in a documented style guide voice</t>
  </si>
  <si>
    <t>Steps 3, 5</t>
  </si>
  <si>
    <t>Style guide stored in Neon, passed to Gemini.</t>
  </si>
  <si>
    <t>Draft delivered to Shreya on Telegram by Wednesday evening</t>
  </si>
  <si>
    <t>Step 6</t>
  </si>
  <si>
    <t>Wed 6 PM.</t>
  </si>
  <si>
    <t>She edits, approves or swaps stories individually, then confirms</t>
  </si>
  <si>
    <t>Step 7</t>
  </si>
  <si>
    <t>Backups come from step 5.</t>
  </si>
  <si>
    <t>Never sends autonomously; waits for explicit confirmation</t>
  </si>
  <si>
    <t>Step 8</t>
  </si>
  <si>
    <t>Status + text-hash gate.</t>
  </si>
  <si>
    <t>Reminder if no confirmation by Wednesday 10 PM</t>
  </si>
  <si>
    <t>Step 7 text, cron</t>
  </si>
  <si>
    <t>Separate cron route; not a drawn box.</t>
  </si>
  <si>
    <t>Formatted email to the subscriber list on Thursday morning</t>
  </si>
  <si>
    <t>Step 9</t>
  </si>
  <si>
    <t>Demo sends to your own inbox.</t>
  </si>
  <si>
    <t>Unsubscribes and bounces handled gracefully</t>
  </si>
  <si>
    <t>Step 9 text</t>
  </si>
  <si>
    <t>Unsubscribe link + Resend webhook; no arrow back; booklet wording mentions Gmail.</t>
  </si>
  <si>
    <t>Uses live external data; works with some data at submission</t>
  </si>
  <si>
    <t>Steps 2, 3</t>
  </si>
  <si>
    <t>Seed data not shown on the map.</t>
  </si>
  <si>
    <t>All AI tasks use Gemini Flash (no Claude API)</t>
  </si>
  <si>
    <t>Single AI box.</t>
  </si>
  <si>
    <t>Deployed on Vercel with a public URL, GitHub link and Components Map</t>
  </si>
  <si>
    <t>Whole project</t>
  </si>
  <si>
    <t>Footnote describes the public pages.</t>
  </si>
  <si>
    <t>Covered:</t>
  </si>
  <si>
    <t>Partial:</t>
  </si>
  <si>
    <t>Not covered:</t>
  </si>
  <si>
    <t>2 · INPUT
Pulls 20 RSS feeds + 5 GNews queries. Stores every article in Neon (title, URL, date, source).</t>
  </si>
  <si>
    <t>6 · OUTPUT (draft)
Code checks the pick (count, 3+ topics, no repeats, facts in source), re-asks Gemini if it fails. Saves draft, sends to Telegram Wed 6 PM.</t>
  </si>
  <si>
    <t>7 · DECIDE (human)
Shreya keeps, edits, swaps or removes each story (Telegram or web Desk), then confirms. No confirm by 10 PM → reminder.</t>
  </si>
  <si>
    <t>Public URL is Shreya's Editor's Desk (same issue as Telegram) plus status, archive, unsubscribe page and the Telegram + Resend webhooks; these sit outside the weekly flow. The Wed 6 PM, Wed 10 PM (never early) and Thu 8 AM triggers, and a Wed 1:30 PM pre-curate ingest, are further cron calls from the same scheduler.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</si>
</sst>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2A4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2A44"/>
      <name val="Arial"/>
      <charset val="1"/>
    </font>
    <font>
      <sz val="9"/>
      <name val="Arial"/>
      <charset val="1"/>
    </font>
    <font>
      <sz val="9"/>
      <color rgb="FF404040"/>
      <name val="Arial"/>
      <charset val="1"/>
    </font>
    <font>
      <b/>
      <sz val="12"/>
      <color rgb="FF1F2A44"/>
      <name val="Arial"/>
      <charset val="1"/>
    </font>
    <font>
      <b/>
      <sz val="9"/>
      <name val="Arial"/>
      <charset val="1"/>
    </font>
    <font>
      <b/>
      <sz val="10"/>
      <color rgb="FF27500A"/>
      <name val="Arial"/>
      <charset val="1"/>
    </font>
    <font>
      <b/>
      <sz val="9"/>
      <color rgb="FF27500A"/>
      <name val="Arial"/>
      <charset val="1"/>
    </font>
    <font>
      <b/>
      <sz val="9"/>
      <color rgb="FF633806"/>
      <name val="Arial"/>
      <charset val="1"/>
    </font>
    <font>
      <b/>
      <sz val="9"/>
      <color rgb="FF791F1F"/>
      <name val="Arial"/>
      <charset val="1"/>
    </font>
    <font>
      <b/>
      <sz val="1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A44"/>
        <bgColor rgb="FF404040"/>
      </patternFill>
    </fill>
    <fill>
      <patternFill patternType="solid">
        <fgColor rgb="FFD9D2E9"/>
        <bgColor rgb="FFD0E0E3"/>
      </patternFill>
    </fill>
    <fill>
      <patternFill patternType="solid">
        <fgColor rgb="FFF4CCCC"/>
        <bgColor rgb="FFD9D2E9"/>
      </patternFill>
    </fill>
    <fill>
      <patternFill patternType="solid">
        <fgColor rgb="FFCFE2F3"/>
        <bgColor rgb="FFD0E0E3"/>
      </patternFill>
    </fill>
    <fill>
      <patternFill patternType="solid">
        <fgColor rgb="FFFFE599"/>
        <bgColor rgb="FFFCE5CD"/>
      </patternFill>
    </fill>
    <fill>
      <patternFill patternType="solid">
        <fgColor rgb="FFD0E0E3"/>
        <bgColor rgb="FFCFE2F3"/>
      </patternFill>
    </fill>
    <fill>
      <patternFill patternType="solid">
        <fgColor rgb="FFD9EAD3"/>
        <bgColor rgb="FFD0E0E3"/>
      </patternFill>
    </fill>
    <fill>
      <patternFill patternType="solid">
        <fgColor rgb="FFFCE5CD"/>
        <bgColor rgb="FFFAEEDA"/>
      </patternFill>
    </fill>
    <fill>
      <patternFill patternType="solid">
        <fgColor rgb="FFF2F2F2"/>
        <bgColor rgb="FFEAF3DE"/>
      </patternFill>
    </fill>
    <fill>
      <patternFill patternType="solid">
        <fgColor rgb="FFEAF3DE"/>
        <bgColor rgb="FFF2F2F2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E7CC3"/>
      </left>
      <right style="medium">
        <color rgb="FF8E7CC3"/>
      </right>
      <top style="medium">
        <color rgb="FF8E7CC3"/>
      </top>
      <bottom style="medium">
        <color rgb="FF8E7CC3"/>
      </bottom>
      <diagonal/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  <border>
      <left style="medium">
        <color rgb="FF6FA8DC"/>
      </left>
      <right style="medium">
        <color rgb="FF6FA8DC"/>
      </right>
      <top style="medium">
        <color rgb="FF6FA8DC"/>
      </top>
      <bottom style="medium">
        <color rgb="FF6FA8DC"/>
      </bottom>
      <diagonal/>
    </border>
    <border>
      <left style="medium">
        <color rgb="FFE69138"/>
      </left>
      <right style="medium">
        <color rgb="FFE69138"/>
      </right>
      <top style="medium">
        <color rgb="FFE69138"/>
      </top>
      <bottom style="medium">
        <color rgb="FFE69138"/>
      </bottom>
      <diagonal/>
    </border>
    <border>
      <left style="medium">
        <color rgb="FF45818E"/>
      </left>
      <right style="medium">
        <color rgb="FF45818E"/>
      </right>
      <top style="medium">
        <color rgb="FF45818E"/>
      </top>
      <bottom style="medium">
        <color rgb="FF45818E"/>
      </bottom>
      <diagonal/>
    </border>
    <border>
      <left style="medium">
        <color rgb="FF6AA84F"/>
      </left>
      <right style="medium">
        <color rgb="FF6AA84F"/>
      </right>
      <top style="medium">
        <color rgb="FF6AA84F"/>
      </top>
      <bottom style="medium">
        <color rgb="FF6AA84F"/>
      </bottom>
      <diagonal/>
    </border>
    <border>
      <left style="medium">
        <color rgb="FFB45F06"/>
      </left>
      <right style="medium">
        <color rgb="FFB45F06"/>
      </right>
      <top style="medium">
        <color rgb="FFB45F06"/>
      </top>
      <bottom style="medium">
        <color rgb="FFB45F06"/>
      </bottom>
      <diagonal/>
    </border>
    <border>
      <left style="thin">
        <color rgb="FF8E7CC3"/>
      </left>
      <right style="thin">
        <color rgb="FF8E7CC3"/>
      </right>
      <top style="thin">
        <color rgb="FF8E7CC3"/>
      </top>
      <bottom style="thin">
        <color rgb="FF8E7CC3"/>
      </bottom>
      <diagonal/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 style="thin">
        <color rgb="FFE69138"/>
      </left>
      <right style="thin">
        <color rgb="FFE69138"/>
      </right>
      <top style="thin">
        <color rgb="FFE69138"/>
      </top>
      <bottom style="thin">
        <color rgb="FFE69138"/>
      </bottom>
      <diagonal/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  <diagonal/>
    </border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0" xfId="0" applyFont="1" applyAlignment="1">
      <alignment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3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9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B45F06"/>
      <rgbColor rgb="FF800080"/>
      <rgbColor rgb="FF008080"/>
      <rgbColor rgb="FFBFBFBF"/>
      <rgbColor rgb="FF8E7CC3"/>
      <rgbColor rgb="FF6FA8DC"/>
      <rgbColor rgb="FF633806"/>
      <rgbColor rgb="FFFAEEDA"/>
      <rgbColor rgb="FFEAF3DE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D9EAD3"/>
      <rgbColor rgb="FFFFE599"/>
      <rgbColor rgb="FFD0E0E3"/>
      <rgbColor rgb="FFFCE5CD"/>
      <rgbColor rgb="FFFCEBEB"/>
      <rgbColor rgb="FFF4CCCC"/>
      <rgbColor rgb="FF3366FF"/>
      <rgbColor rgb="FF33CCCC"/>
      <rgbColor rgb="FF99CC00"/>
      <rgbColor rgb="FFFFCC00"/>
      <rgbColor rgb="FFE69138"/>
      <rgbColor rgb="FFFF6600"/>
      <rgbColor rgb="FF595959"/>
      <rgbColor rgb="FF6AA84F"/>
      <rgbColor rgb="FF1F2A44"/>
      <rgbColor rgb="FF45818E"/>
      <rgbColor rgb="FF003300"/>
      <rgbColor rgb="FF27500A"/>
      <rgbColor rgb="FF791F1F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581025</xdr:rowOff>
    </xdr:from>
    <xdr:to>
      <xdr:col>2</xdr:col>
      <xdr:colOff>957262</xdr:colOff>
      <xdr:row>6</xdr:row>
      <xdr:rowOff>0</xdr:rowOff>
    </xdr:to>
    <xdr:sp macro="" textlink="">
      <xdr:nvSpPr>
        <xdr:cNvPr id="2" name="Arrow step 1 to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9050" y="1562100"/>
          <a:ext cx="957262" cy="1743075"/>
        </a:xfrm>
        <a:custGeom>
          <a:avLst/>
          <a:gdLst/>
          <a:ahLst/>
          <a:cxnLst/>
          <a:rect l="0" t="0" r="r" b="b"/>
          <a:pathLst>
            <a:path w="100" h="100" fill="none">
              <a:moveTo>
                <a:pt x="0" y="0"/>
              </a:moveTo>
              <a:lnTo>
                <a:pt x="100" y="0"/>
              </a:lnTo>
              <a:lnTo>
                <a:pt x="100" y="10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  <xdr:twoCellAnchor>
    <xdr:from>
      <xdr:col>3</xdr:col>
      <xdr:colOff>0</xdr:colOff>
      <xdr:row>6</xdr:row>
      <xdr:rowOff>581025</xdr:rowOff>
    </xdr:from>
    <xdr:to>
      <xdr:col>3</xdr:col>
      <xdr:colOff>957262</xdr:colOff>
      <xdr:row>7</xdr:row>
      <xdr:rowOff>0</xdr:rowOff>
    </xdr:to>
    <xdr:sp macro="" textlink="">
      <xdr:nvSpPr>
        <xdr:cNvPr id="3" name="Arrow step 2 to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743575" y="3886200"/>
          <a:ext cx="957262" cy="581025"/>
        </a:xfrm>
        <a:custGeom>
          <a:avLst/>
          <a:gdLst/>
          <a:ahLst/>
          <a:cxnLst/>
          <a:rect l="0" t="0" r="r" b="b"/>
          <a:pathLst>
            <a:path w="100" h="100" fill="none">
              <a:moveTo>
                <a:pt x="0" y="0"/>
              </a:moveTo>
              <a:lnTo>
                <a:pt x="100" y="0"/>
              </a:lnTo>
              <a:lnTo>
                <a:pt x="100" y="10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957262</xdr:colOff>
      <xdr:row>7</xdr:row>
      <xdr:rowOff>581025</xdr:rowOff>
    </xdr:to>
    <xdr:sp macro="" textlink="">
      <xdr:nvSpPr>
        <xdr:cNvPr id="4" name="Arrow step 3 to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658100" y="4467225"/>
          <a:ext cx="957262" cy="581025"/>
        </a:xfrm>
        <a:custGeom>
          <a:avLst/>
          <a:gdLst/>
          <a:ahLst/>
          <a:cxnLst/>
          <a:rect l="0" t="0" r="r" b="b"/>
          <a:pathLst>
            <a:path w="100" h="100" fill="none">
              <a:moveTo>
                <a:pt x="0" y="100"/>
              </a:moveTo>
              <a:lnTo>
                <a:pt x="100" y="100"/>
              </a:lnTo>
              <a:lnTo>
                <a:pt x="100" y="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957262</xdr:colOff>
      <xdr:row>6</xdr:row>
      <xdr:rowOff>581025</xdr:rowOff>
    </xdr:to>
    <xdr:sp macro="" textlink="">
      <xdr:nvSpPr>
        <xdr:cNvPr id="5" name="Arrow step 4 to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572625" y="3305175"/>
          <a:ext cx="957262" cy="581025"/>
        </a:xfrm>
        <a:custGeom>
          <a:avLst/>
          <a:gdLst/>
          <a:ahLst/>
          <a:cxnLst/>
          <a:rect l="0" t="0" r="r" b="b"/>
          <a:pathLst>
            <a:path w="100" h="100" fill="none">
              <a:moveTo>
                <a:pt x="0" y="100"/>
              </a:moveTo>
              <a:lnTo>
                <a:pt x="100" y="100"/>
              </a:lnTo>
              <a:lnTo>
                <a:pt x="100" y="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  <xdr:twoCellAnchor>
    <xdr:from>
      <xdr:col>6</xdr:col>
      <xdr:colOff>0</xdr:colOff>
      <xdr:row>5</xdr:row>
      <xdr:rowOff>581025</xdr:rowOff>
    </xdr:from>
    <xdr:to>
      <xdr:col>6</xdr:col>
      <xdr:colOff>957262</xdr:colOff>
      <xdr:row>6</xdr:row>
      <xdr:rowOff>0</xdr:rowOff>
    </xdr:to>
    <xdr:sp macro="" textlink="">
      <xdr:nvSpPr>
        <xdr:cNvPr id="6" name="Arrow step 5 to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487150" y="2724150"/>
          <a:ext cx="957262" cy="581025"/>
        </a:xfrm>
        <a:custGeom>
          <a:avLst/>
          <a:gdLst/>
          <a:ahLst/>
          <a:cxnLst/>
          <a:rect l="0" t="0" r="r" b="b"/>
          <a:pathLst>
            <a:path w="100" h="100" fill="none">
              <a:moveTo>
                <a:pt x="0" y="0"/>
              </a:moveTo>
              <a:lnTo>
                <a:pt x="100" y="0"/>
              </a:lnTo>
              <a:lnTo>
                <a:pt x="100" y="10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  <xdr:twoCellAnchor>
    <xdr:from>
      <xdr:col>6</xdr:col>
      <xdr:colOff>957262</xdr:colOff>
      <xdr:row>7</xdr:row>
      <xdr:rowOff>0</xdr:rowOff>
    </xdr:from>
    <xdr:to>
      <xdr:col>6</xdr:col>
      <xdr:colOff>957262</xdr:colOff>
      <xdr:row>8</xdr:row>
      <xdr:rowOff>0</xdr:rowOff>
    </xdr:to>
    <xdr:sp macro="" textlink="">
      <xdr:nvSpPr>
        <xdr:cNvPr id="7" name="Arrow step 6 to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444412" y="4467225"/>
          <a:ext cx="0" cy="1162050"/>
        </a:xfrm>
        <a:custGeom>
          <a:avLst/>
          <a:gdLst/>
          <a:ahLst/>
          <a:cxnLst/>
          <a:rect l="0" t="0" r="r" b="b"/>
          <a:pathLst>
            <a:path w="1" h="100" fill="none">
              <a:moveTo>
                <a:pt x="0" y="0"/>
              </a:moveTo>
              <a:lnTo>
                <a:pt x="0" y="10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  <xdr:twoCellAnchor>
    <xdr:from>
      <xdr:col>6</xdr:col>
      <xdr:colOff>957262</xdr:colOff>
      <xdr:row>8</xdr:row>
      <xdr:rowOff>1009650</xdr:rowOff>
    </xdr:from>
    <xdr:to>
      <xdr:col>6</xdr:col>
      <xdr:colOff>957262</xdr:colOff>
      <xdr:row>9</xdr:row>
      <xdr:rowOff>152400</xdr:rowOff>
    </xdr:to>
    <xdr:sp macro="" textlink="">
      <xdr:nvSpPr>
        <xdr:cNvPr id="8" name="Arrow step 7 to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444412" y="6638925"/>
          <a:ext cx="0" cy="304800"/>
        </a:xfrm>
        <a:custGeom>
          <a:avLst/>
          <a:gdLst/>
          <a:ahLst/>
          <a:cxnLst/>
          <a:rect l="0" t="0" r="r" b="b"/>
          <a:pathLst>
            <a:path w="1" h="100" fill="none">
              <a:moveTo>
                <a:pt x="0" y="0"/>
              </a:moveTo>
              <a:lnTo>
                <a:pt x="0" y="10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  <xdr:twoCellAnchor>
    <xdr:from>
      <xdr:col>6</xdr:col>
      <xdr:colOff>957262</xdr:colOff>
      <xdr:row>9</xdr:row>
      <xdr:rowOff>1009650</xdr:rowOff>
    </xdr:from>
    <xdr:to>
      <xdr:col>6</xdr:col>
      <xdr:colOff>957262</xdr:colOff>
      <xdr:row>10</xdr:row>
      <xdr:rowOff>152400</xdr:rowOff>
    </xdr:to>
    <xdr:sp macro="" textlink="">
      <xdr:nvSpPr>
        <xdr:cNvPr id="9" name="Arrow step 8 to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444412" y="7800975"/>
          <a:ext cx="0" cy="304800"/>
        </a:xfrm>
        <a:custGeom>
          <a:avLst/>
          <a:gdLst/>
          <a:ahLst/>
          <a:cxnLst/>
          <a:rect l="0" t="0" r="r" b="b"/>
          <a:pathLst>
            <a:path w="1" h="100" fill="none">
              <a:moveTo>
                <a:pt x="0" y="0"/>
              </a:moveTo>
              <a:lnTo>
                <a:pt x="0" y="100"/>
              </a:lnTo>
            </a:path>
          </a:pathLst>
        </a:custGeom>
        <a:noFill/>
        <a:ln w="15875">
          <a:solidFill>
            <a:srgbClr val="000000"/>
          </a:solidFill>
          <a:miter lim="800000"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tabSelected="1" zoomScaleNormal="100" workbookViewId="0"/>
  </sheetViews>
  <sheetFormatPr defaultColWidth="8.6640625" defaultRowHeight="14.4" x14ac:dyDescent="0.3"/>
  <cols>
    <col min="1" max="7" width="28" customWidth="1"/>
  </cols>
  <sheetData>
    <row r="1" spans="1:8" ht="27.75" customHeight="1" x14ac:dyDescent="0.4">
      <c r="A1" s="8" t="s">
        <v>0</v>
      </c>
    </row>
    <row r="2" spans="1:8" ht="18" customHeight="1" x14ac:dyDescent="0.3">
      <c r="A2" s="9" t="s">
        <v>1</v>
      </c>
    </row>
    <row r="3" spans="1:8" ht="7.5" customHeight="1" x14ac:dyDescent="0.3"/>
    <row r="4" spans="1:8" ht="24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</row>
    <row r="5" spans="1:8" ht="91.5" customHeight="1" x14ac:dyDescent="0.3">
      <c r="A5" s="11" t="s">
        <v>9</v>
      </c>
      <c r="B5" s="12" t="s">
        <v>10</v>
      </c>
      <c r="C5" s="13"/>
      <c r="D5" s="13"/>
      <c r="E5" s="13"/>
      <c r="F5" s="13"/>
      <c r="G5" s="13"/>
    </row>
    <row r="6" spans="1:8" ht="91.5" customHeight="1" x14ac:dyDescent="0.3">
      <c r="A6" s="11" t="s">
        <v>11</v>
      </c>
      <c r="B6" s="13"/>
      <c r="C6" s="13"/>
      <c r="D6" s="13"/>
      <c r="E6" s="13"/>
      <c r="F6" s="14" t="s">
        <v>12</v>
      </c>
      <c r="G6" s="13"/>
    </row>
    <row r="7" spans="1:8" ht="91.5" customHeight="1" x14ac:dyDescent="0.3">
      <c r="A7" s="11" t="s">
        <v>13</v>
      </c>
      <c r="B7" s="13"/>
      <c r="C7" s="15" t="s">
        <v>197</v>
      </c>
      <c r="D7" s="13"/>
      <c r="E7" s="16" t="s">
        <v>14</v>
      </c>
      <c r="F7" s="13"/>
      <c r="G7" s="17" t="s">
        <v>198</v>
      </c>
    </row>
    <row r="8" spans="1:8" ht="91.5" customHeight="1" x14ac:dyDescent="0.3">
      <c r="A8" s="11" t="s">
        <v>15</v>
      </c>
      <c r="B8" s="13"/>
      <c r="C8" s="13"/>
      <c r="D8" s="18" t="s">
        <v>16</v>
      </c>
      <c r="E8" s="13"/>
      <c r="F8" s="13"/>
      <c r="G8" s="13"/>
    </row>
    <row r="9" spans="1:8" ht="91.5" customHeight="1" x14ac:dyDescent="0.3">
      <c r="A9" s="11" t="s">
        <v>17</v>
      </c>
      <c r="B9" s="13"/>
      <c r="C9" s="13"/>
      <c r="D9" s="13"/>
      <c r="E9" s="13"/>
      <c r="F9" s="13"/>
      <c r="G9" s="19" t="s">
        <v>199</v>
      </c>
    </row>
    <row r="10" spans="1:8" ht="91.5" customHeight="1" x14ac:dyDescent="0.3">
      <c r="A10" s="11" t="s">
        <v>18</v>
      </c>
      <c r="B10" s="13"/>
      <c r="C10" s="13"/>
      <c r="D10" s="13"/>
      <c r="E10" s="13"/>
      <c r="F10" s="13"/>
      <c r="G10" s="16" t="s">
        <v>19</v>
      </c>
    </row>
    <row r="11" spans="1:8" ht="91.5" customHeight="1" x14ac:dyDescent="0.3">
      <c r="A11" s="11" t="s">
        <v>20</v>
      </c>
      <c r="B11" s="13"/>
      <c r="C11" s="13"/>
      <c r="D11" s="13"/>
      <c r="E11" s="13"/>
      <c r="F11" s="13"/>
      <c r="G11" s="17" t="s">
        <v>21</v>
      </c>
    </row>
    <row r="12" spans="1:8" ht="9.75" customHeight="1" x14ac:dyDescent="0.3"/>
    <row r="13" spans="1:8" ht="30" customHeight="1" x14ac:dyDescent="0.3">
      <c r="A13" s="20" t="s">
        <v>22</v>
      </c>
      <c r="B13" s="21" t="s">
        <v>23</v>
      </c>
      <c r="C13" s="21" t="s">
        <v>24</v>
      </c>
      <c r="D13" s="21" t="s">
        <v>25</v>
      </c>
      <c r="E13" s="21" t="s">
        <v>26</v>
      </c>
      <c r="F13" s="21" t="s">
        <v>27</v>
      </c>
      <c r="G13" s="21" t="s">
        <v>28</v>
      </c>
    </row>
    <row r="15" spans="1:8" x14ac:dyDescent="0.3">
      <c r="A15" s="22" t="s">
        <v>29</v>
      </c>
      <c r="B15" s="23" t="s">
        <v>3</v>
      </c>
      <c r="C15" s="24" t="s">
        <v>4</v>
      </c>
      <c r="D15" s="25" t="s">
        <v>30</v>
      </c>
      <c r="E15" s="26" t="s">
        <v>31</v>
      </c>
      <c r="F15" s="27" t="s">
        <v>32</v>
      </c>
      <c r="G15" s="28" t="s">
        <v>33</v>
      </c>
      <c r="H15" s="29" t="s">
        <v>8</v>
      </c>
    </row>
    <row r="17" spans="1:7" ht="27.75" customHeight="1" x14ac:dyDescent="0.3">
      <c r="A17" s="7" t="s">
        <v>34</v>
      </c>
      <c r="B17" s="7"/>
      <c r="C17" s="7"/>
      <c r="D17" s="7"/>
      <c r="E17" s="7"/>
      <c r="F17" s="7"/>
      <c r="G17" s="7"/>
    </row>
    <row r="18" spans="1:7" ht="27.75" customHeight="1" x14ac:dyDescent="0.3">
      <c r="A18" s="7" t="s">
        <v>35</v>
      </c>
      <c r="B18" s="7"/>
      <c r="C18" s="7"/>
      <c r="D18" s="7"/>
      <c r="E18" s="7"/>
      <c r="F18" s="7"/>
      <c r="G18" s="7"/>
    </row>
    <row r="19" spans="1:7" ht="27.75" customHeight="1" x14ac:dyDescent="0.3">
      <c r="A19" s="7" t="s">
        <v>200</v>
      </c>
      <c r="B19" s="7"/>
      <c r="C19" s="7"/>
      <c r="D19" s="7"/>
      <c r="E19" s="7"/>
      <c r="F19" s="7"/>
      <c r="G19" s="7"/>
    </row>
    <row r="20" spans="1:7" ht="27.75" customHeight="1" x14ac:dyDescent="0.3">
      <c r="A20" s="7" t="s">
        <v>36</v>
      </c>
      <c r="B20" s="7"/>
      <c r="C20" s="7"/>
      <c r="D20" s="7"/>
      <c r="E20" s="7"/>
      <c r="F20" s="7"/>
      <c r="G20" s="7"/>
    </row>
  </sheetData>
  <mergeCells count="4">
    <mergeCell ref="A17:G17"/>
    <mergeCell ref="A18:G18"/>
    <mergeCell ref="A19:G19"/>
    <mergeCell ref="A20:G20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9"/>
  <sheetViews>
    <sheetView showGridLines="0" zoomScaleNormal="100" workbookViewId="0"/>
  </sheetViews>
  <sheetFormatPr defaultColWidth="8.6640625" defaultRowHeight="14.4" x14ac:dyDescent="0.3"/>
  <cols>
    <col min="1" max="1" width="8" customWidth="1"/>
    <col min="2" max="2" width="34" customWidth="1"/>
    <col min="3" max="4" width="12" customWidth="1"/>
    <col min="5" max="5" width="30" customWidth="1"/>
    <col min="6" max="6" width="18" customWidth="1"/>
    <col min="7" max="7" width="16" customWidth="1"/>
    <col min="8" max="8" width="32" customWidth="1"/>
    <col min="9" max="9" width="14" customWidth="1"/>
  </cols>
  <sheetData>
    <row r="1" spans="1:9" ht="21" x14ac:dyDescent="0.4">
      <c r="A1" s="8" t="s">
        <v>37</v>
      </c>
    </row>
    <row r="2" spans="1:9" x14ac:dyDescent="0.3">
      <c r="A2" s="9" t="s">
        <v>38</v>
      </c>
    </row>
    <row r="4" spans="1:9" ht="15.6" x14ac:dyDescent="0.3">
      <c r="A4" s="30" t="s">
        <v>39</v>
      </c>
    </row>
    <row r="5" spans="1:9" ht="30" customHeight="1" x14ac:dyDescent="0.3">
      <c r="A5" s="11" t="s">
        <v>40</v>
      </c>
      <c r="B5" s="11" t="s">
        <v>41</v>
      </c>
      <c r="C5" s="11" t="s">
        <v>42</v>
      </c>
      <c r="D5" s="11" t="s">
        <v>43</v>
      </c>
      <c r="E5" s="11" t="s">
        <v>44</v>
      </c>
      <c r="F5" s="11" t="s">
        <v>45</v>
      </c>
      <c r="G5" s="11" t="s">
        <v>46</v>
      </c>
      <c r="H5" s="11" t="s">
        <v>47</v>
      </c>
      <c r="I5" s="11" t="s">
        <v>48</v>
      </c>
    </row>
    <row r="6" spans="1:9" ht="25.5" customHeight="1" x14ac:dyDescent="0.3">
      <c r="A6" s="31">
        <v>1</v>
      </c>
      <c r="B6" s="31" t="s">
        <v>49</v>
      </c>
      <c r="C6" s="31">
        <v>5</v>
      </c>
      <c r="D6" s="31">
        <v>2</v>
      </c>
      <c r="E6" s="32" t="str">
        <f>SUBSTITUTE(INDEX('Components Map'!$A$5:$A$11,C6-4),CHAR(10)," ")</f>
        <v>VERCEL CRON (Scheduler)</v>
      </c>
      <c r="F6" s="32" t="str">
        <f>INDEX('Components Map'!$B$4:$G$4,D6-1)</f>
        <v>Trigger</v>
      </c>
      <c r="G6" s="31" t="str">
        <f>IF(LEFT(INDEX('Components Map'!$B$5:$G$11,C6-4,D6-1),LEN(A6&amp;" ·"))=A6&amp;" ·","Yes","NO")</f>
        <v>Yes</v>
      </c>
      <c r="H6" s="32" t="s">
        <v>50</v>
      </c>
      <c r="I6" s="31" t="str">
        <f t="shared" ref="I6:I14" si="0">IF(G6="Yes","OK","MISPLACED")</f>
        <v>OK</v>
      </c>
    </row>
    <row r="7" spans="1:9" ht="25.5" customHeight="1" x14ac:dyDescent="0.3">
      <c r="A7" s="31">
        <v>2</v>
      </c>
      <c r="B7" s="31" t="s">
        <v>51</v>
      </c>
      <c r="C7" s="31">
        <v>7</v>
      </c>
      <c r="D7" s="31">
        <v>3</v>
      </c>
      <c r="E7" s="32" t="str">
        <f>SUBSTITUTE(INDEX('Components Map'!$A$5:$A$11,C7-4),CHAR(10)," ")</f>
        <v>BACKEND (Next.js · code)</v>
      </c>
      <c r="F7" s="32" t="str">
        <f>INDEX('Components Map'!$B$4:$G$4,D7-1)</f>
        <v>Input</v>
      </c>
      <c r="G7" s="31" t="str">
        <f>IF(LEFT(INDEX('Components Map'!$B$5:$G$11,C7-4,D7-1),LEN(A7&amp;" ·"))=A7&amp;" ·","Yes","NO")</f>
        <v>Yes</v>
      </c>
      <c r="H7" s="32" t="s">
        <v>52</v>
      </c>
      <c r="I7" s="31" t="str">
        <f t="shared" si="0"/>
        <v>OK</v>
      </c>
    </row>
    <row r="8" spans="1:9" ht="25.5" customHeight="1" x14ac:dyDescent="0.3">
      <c r="A8" s="31">
        <v>3</v>
      </c>
      <c r="B8" s="31" t="s">
        <v>53</v>
      </c>
      <c r="C8" s="31">
        <v>8</v>
      </c>
      <c r="D8" s="31">
        <v>4</v>
      </c>
      <c r="E8" s="32" t="str">
        <f>SUBSTITUTE(INDEX('Components Map'!$A$5:$A$11,C8-4),CHAR(10)," ")</f>
        <v>NEON POSTGRES (Database)</v>
      </c>
      <c r="F8" s="32" t="str">
        <f>INDEX('Components Map'!$B$4:$G$4,D8-1)</f>
        <v>Context</v>
      </c>
      <c r="G8" s="31" t="str">
        <f>IF(LEFT(INDEX('Components Map'!$B$5:$G$11,C8-4,D8-1),LEN(A8&amp;" ·"))=A8&amp;" ·","Yes","NO")</f>
        <v>Yes</v>
      </c>
      <c r="H8" s="32" t="s">
        <v>54</v>
      </c>
      <c r="I8" s="31" t="str">
        <f t="shared" si="0"/>
        <v>OK</v>
      </c>
    </row>
    <row r="9" spans="1:9" ht="25.5" customHeight="1" x14ac:dyDescent="0.3">
      <c r="A9" s="31">
        <v>4</v>
      </c>
      <c r="B9" s="31" t="s">
        <v>55</v>
      </c>
      <c r="C9" s="31">
        <v>7</v>
      </c>
      <c r="D9" s="31">
        <v>5</v>
      </c>
      <c r="E9" s="32" t="str">
        <f>SUBSTITUTE(INDEX('Components Map'!$A$5:$A$11,C9-4),CHAR(10)," ")</f>
        <v>BACKEND (Next.js · code)</v>
      </c>
      <c r="F9" s="32" t="str">
        <f>INDEX('Components Map'!$B$4:$G$4,D9-1)</f>
        <v>Processing</v>
      </c>
      <c r="G9" s="31" t="str">
        <f>IF(LEFT(INDEX('Components Map'!$B$5:$G$11,C9-4,D9-1),LEN(A9&amp;" ·"))=A9&amp;" ·","Yes","NO")</f>
        <v>Yes</v>
      </c>
      <c r="H9" s="32" t="s">
        <v>56</v>
      </c>
      <c r="I9" s="31" t="str">
        <f t="shared" si="0"/>
        <v>OK</v>
      </c>
    </row>
    <row r="10" spans="1:9" ht="25.5" customHeight="1" x14ac:dyDescent="0.3">
      <c r="A10" s="31">
        <v>5</v>
      </c>
      <c r="B10" s="31" t="s">
        <v>57</v>
      </c>
      <c r="C10" s="31">
        <v>6</v>
      </c>
      <c r="D10" s="31">
        <v>6</v>
      </c>
      <c r="E10" s="32" t="str">
        <f>SUBSTITUTE(INDEX('Components Map'!$A$5:$A$11,C10-4),CHAR(10)," ")</f>
        <v>GEMINI FLASH (AI)</v>
      </c>
      <c r="F10" s="32" t="str">
        <f>INDEX('Components Map'!$B$4:$G$4,D10-1)</f>
        <v>AI</v>
      </c>
      <c r="G10" s="31" t="str">
        <f>IF(LEFT(INDEX('Components Map'!$B$5:$G$11,C10-4,D10-1),LEN(A10&amp;" ·"))=A10&amp;" ·","Yes","NO")</f>
        <v>Yes</v>
      </c>
      <c r="H10" s="32" t="s">
        <v>58</v>
      </c>
      <c r="I10" s="31" t="str">
        <f t="shared" si="0"/>
        <v>OK</v>
      </c>
    </row>
    <row r="11" spans="1:9" ht="25.5" customHeight="1" x14ac:dyDescent="0.3">
      <c r="A11" s="31">
        <v>6</v>
      </c>
      <c r="B11" s="31" t="s">
        <v>59</v>
      </c>
      <c r="C11" s="31">
        <v>7</v>
      </c>
      <c r="D11" s="31">
        <v>7</v>
      </c>
      <c r="E11" s="32" t="str">
        <f>SUBSTITUTE(INDEX('Components Map'!$A$5:$A$11,C11-4),CHAR(10)," ")</f>
        <v>BACKEND (Next.js · code)</v>
      </c>
      <c r="F11" s="32" t="str">
        <f>INDEX('Components Map'!$B$4:$G$4,D11-1)</f>
        <v>Output</v>
      </c>
      <c r="G11" s="31" t="str">
        <f>IF(LEFT(INDEX('Components Map'!$B$5:$G$11,C11-4,D11-1),LEN(A11&amp;" ·"))=A11&amp;" ·","Yes","NO")</f>
        <v>Yes</v>
      </c>
      <c r="H11" s="32" t="s">
        <v>60</v>
      </c>
      <c r="I11" s="31" t="str">
        <f t="shared" si="0"/>
        <v>OK</v>
      </c>
    </row>
    <row r="12" spans="1:9" ht="25.5" customHeight="1" x14ac:dyDescent="0.3">
      <c r="A12" s="31">
        <v>7</v>
      </c>
      <c r="B12" s="31" t="s">
        <v>61</v>
      </c>
      <c r="C12" s="31">
        <v>9</v>
      </c>
      <c r="D12" s="31">
        <v>7</v>
      </c>
      <c r="E12" s="32" t="str">
        <f>SUBSTITUTE(INDEX('Components Map'!$A$5:$A$11,C12-4),CHAR(10)," ")</f>
        <v>REVIEW GATE (Shreya · Telegram)</v>
      </c>
      <c r="F12" s="32" t="str">
        <f>INDEX('Components Map'!$B$4:$G$4,D12-1)</f>
        <v>Output</v>
      </c>
      <c r="G12" s="31" t="str">
        <f>IF(LEFT(INDEX('Components Map'!$B$5:$G$11,C12-4,D12-1),LEN(A12&amp;" ·"))=A12&amp;" ·","Yes","NO")</f>
        <v>Yes</v>
      </c>
      <c r="H12" s="32" t="s">
        <v>62</v>
      </c>
      <c r="I12" s="31" t="str">
        <f t="shared" si="0"/>
        <v>OK</v>
      </c>
    </row>
    <row r="13" spans="1:9" ht="25.5" customHeight="1" x14ac:dyDescent="0.3">
      <c r="A13" s="31">
        <v>8</v>
      </c>
      <c r="B13" s="31" t="s">
        <v>63</v>
      </c>
      <c r="C13" s="31">
        <v>10</v>
      </c>
      <c r="D13" s="31">
        <v>7</v>
      </c>
      <c r="E13" s="32" t="str">
        <f>SUBSTITUTE(INDEX('Components Map'!$A$5:$A$11,C13-4),CHAR(10)," ")</f>
        <v>SEND GATE (Code · approval check)</v>
      </c>
      <c r="F13" s="32" t="str">
        <f>INDEX('Components Map'!$B$4:$G$4,D13-1)</f>
        <v>Output</v>
      </c>
      <c r="G13" s="31" t="str">
        <f>IF(LEFT(INDEX('Components Map'!$B$5:$G$11,C13-4,D13-1),LEN(A13&amp;" ·"))=A13&amp;" ·","Yes","NO")</f>
        <v>Yes</v>
      </c>
      <c r="H13" s="32" t="s">
        <v>64</v>
      </c>
      <c r="I13" s="31" t="str">
        <f t="shared" si="0"/>
        <v>OK</v>
      </c>
    </row>
    <row r="14" spans="1:9" ht="25.5" customHeight="1" x14ac:dyDescent="0.3">
      <c r="A14" s="31">
        <v>9</v>
      </c>
      <c r="B14" s="31" t="s">
        <v>65</v>
      </c>
      <c r="C14" s="31">
        <v>11</v>
      </c>
      <c r="D14" s="31">
        <v>7</v>
      </c>
      <c r="E14" s="32" t="str">
        <f>SUBSTITUTE(INDEX('Components Map'!$A$5:$A$11,C14-4),CHAR(10)," ")</f>
        <v>RESEND (Email)</v>
      </c>
      <c r="F14" s="32" t="str">
        <f>INDEX('Components Map'!$B$4:$G$4,D14-1)</f>
        <v>Output</v>
      </c>
      <c r="G14" s="31" t="str">
        <f>IF(LEFT(INDEX('Components Map'!$B$5:$G$11,C14-4,D14-1),LEN(A14&amp;" ·"))=A14&amp;" ·","Yes","NO")</f>
        <v>Yes</v>
      </c>
      <c r="H14" s="32" t="s">
        <v>66</v>
      </c>
      <c r="I14" s="31" t="str">
        <f t="shared" si="0"/>
        <v>OK</v>
      </c>
    </row>
    <row r="16" spans="1:9" x14ac:dyDescent="0.3">
      <c r="A16" s="22" t="s">
        <v>67</v>
      </c>
    </row>
    <row r="17" spans="1:9" x14ac:dyDescent="0.3">
      <c r="A17" s="11" t="s">
        <v>68</v>
      </c>
      <c r="B17" s="11"/>
      <c r="C17" s="11" t="s">
        <v>69</v>
      </c>
      <c r="D17" s="11" t="s">
        <v>70</v>
      </c>
      <c r="E17" s="11" t="s">
        <v>48</v>
      </c>
    </row>
    <row r="18" spans="1:9" x14ac:dyDescent="0.3">
      <c r="A18" s="33">
        <v>1</v>
      </c>
      <c r="B18" s="34" t="s">
        <v>3</v>
      </c>
      <c r="C18" s="33">
        <v>1</v>
      </c>
      <c r="D18" s="33">
        <f>COUNTA('Components Map'!B5:B11)</f>
        <v>1</v>
      </c>
      <c r="E18" s="33" t="str">
        <f t="shared" ref="E18:E23" si="1">IF(C18=D18,"OK","CHECK")</f>
        <v>OK</v>
      </c>
    </row>
    <row r="19" spans="1:9" x14ac:dyDescent="0.3">
      <c r="A19" s="33">
        <v>2</v>
      </c>
      <c r="B19" s="34" t="s">
        <v>4</v>
      </c>
      <c r="C19" s="33">
        <v>1</v>
      </c>
      <c r="D19" s="33">
        <f>COUNTA('Components Map'!C5:C11)</f>
        <v>1</v>
      </c>
      <c r="E19" s="33" t="str">
        <f t="shared" si="1"/>
        <v>OK</v>
      </c>
    </row>
    <row r="20" spans="1:9" x14ac:dyDescent="0.3">
      <c r="A20" s="33">
        <v>3</v>
      </c>
      <c r="B20" s="34" t="s">
        <v>5</v>
      </c>
      <c r="C20" s="33">
        <v>1</v>
      </c>
      <c r="D20" s="33">
        <f>COUNTA('Components Map'!D5:D11)</f>
        <v>1</v>
      </c>
      <c r="E20" s="33" t="str">
        <f t="shared" si="1"/>
        <v>OK</v>
      </c>
    </row>
    <row r="21" spans="1:9" x14ac:dyDescent="0.3">
      <c r="A21" s="33">
        <v>4</v>
      </c>
      <c r="B21" s="34" t="s">
        <v>6</v>
      </c>
      <c r="C21" s="33">
        <v>1</v>
      </c>
      <c r="D21" s="33">
        <f>COUNTA('Components Map'!E5:E11)</f>
        <v>1</v>
      </c>
      <c r="E21" s="33" t="str">
        <f t="shared" si="1"/>
        <v>OK</v>
      </c>
    </row>
    <row r="22" spans="1:9" x14ac:dyDescent="0.3">
      <c r="A22" s="33">
        <v>5</v>
      </c>
      <c r="B22" s="34" t="s">
        <v>7</v>
      </c>
      <c r="C22" s="33">
        <v>1</v>
      </c>
      <c r="D22" s="33">
        <f>COUNTA('Components Map'!F5:F11)</f>
        <v>1</v>
      </c>
      <c r="E22" s="33" t="str">
        <f t="shared" si="1"/>
        <v>OK</v>
      </c>
    </row>
    <row r="23" spans="1:9" x14ac:dyDescent="0.3">
      <c r="A23" s="33">
        <v>6</v>
      </c>
      <c r="B23" s="34" t="s">
        <v>8</v>
      </c>
      <c r="C23" s="33">
        <v>4</v>
      </c>
      <c r="D23" s="33">
        <f>COUNTA('Components Map'!G5:G11)</f>
        <v>4</v>
      </c>
      <c r="E23" s="33" t="str">
        <f t="shared" si="1"/>
        <v>OK</v>
      </c>
    </row>
    <row r="24" spans="1:9" x14ac:dyDescent="0.3">
      <c r="B24" s="35" t="s">
        <v>71</v>
      </c>
      <c r="D24" s="35">
        <f>COUNTA('Components Map'!B5:G11)</f>
        <v>9</v>
      </c>
    </row>
    <row r="25" spans="1:9" x14ac:dyDescent="0.3">
      <c r="A25" s="22" t="s">
        <v>72</v>
      </c>
      <c r="B25" s="36" t="str">
        <f>IF(AND(COUNTIF(I6:I14,"OK")=9,COUNTIF(E18:E23,"OK")=6,D24=9),"ALL PLACEMENT CHECKS PASS","CHECK FAILED — see rows above")</f>
        <v>ALL PLACEMENT CHECKS PASS</v>
      </c>
    </row>
    <row r="28" spans="1:9" ht="15.6" x14ac:dyDescent="0.3">
      <c r="A28" s="30" t="s">
        <v>73</v>
      </c>
    </row>
    <row r="29" spans="1:9" ht="15" customHeight="1" x14ac:dyDescent="0.3">
      <c r="A29" s="11" t="s">
        <v>74</v>
      </c>
      <c r="B29" s="11" t="s">
        <v>75</v>
      </c>
      <c r="C29" s="6" t="s">
        <v>76</v>
      </c>
      <c r="D29" s="6"/>
      <c r="E29" s="6" t="s">
        <v>77</v>
      </c>
      <c r="F29" s="6"/>
      <c r="G29" s="6"/>
      <c r="H29" s="6" t="s">
        <v>78</v>
      </c>
      <c r="I29" s="6"/>
    </row>
    <row r="30" spans="1:9" ht="54" customHeight="1" x14ac:dyDescent="0.3">
      <c r="A30" s="31">
        <v>1</v>
      </c>
      <c r="B30" s="32" t="s">
        <v>79</v>
      </c>
      <c r="C30" s="5" t="s">
        <v>80</v>
      </c>
      <c r="D30" s="5"/>
      <c r="E30" s="4" t="s">
        <v>81</v>
      </c>
      <c r="F30" s="4"/>
      <c r="G30" s="4"/>
      <c r="H30" s="4" t="s">
        <v>82</v>
      </c>
      <c r="I30" s="4"/>
    </row>
    <row r="31" spans="1:9" ht="54" customHeight="1" x14ac:dyDescent="0.3">
      <c r="A31" s="31">
        <v>2</v>
      </c>
      <c r="B31" s="32" t="s">
        <v>83</v>
      </c>
      <c r="C31" s="5" t="s">
        <v>80</v>
      </c>
      <c r="D31" s="5"/>
      <c r="E31" s="4" t="s">
        <v>84</v>
      </c>
      <c r="F31" s="4"/>
      <c r="G31" s="4"/>
      <c r="H31" s="4" t="s">
        <v>85</v>
      </c>
      <c r="I31" s="4"/>
    </row>
    <row r="32" spans="1:9" ht="54" customHeight="1" x14ac:dyDescent="0.3">
      <c r="A32" s="31">
        <v>3</v>
      </c>
      <c r="B32" s="32" t="s">
        <v>86</v>
      </c>
      <c r="C32" s="5" t="s">
        <v>80</v>
      </c>
      <c r="D32" s="5"/>
      <c r="E32" s="4" t="s">
        <v>87</v>
      </c>
      <c r="F32" s="4"/>
      <c r="G32" s="4"/>
      <c r="H32" s="4" t="s">
        <v>88</v>
      </c>
      <c r="I32" s="4"/>
    </row>
    <row r="33" spans="1:9" ht="54" customHeight="1" x14ac:dyDescent="0.3">
      <c r="A33" s="31">
        <v>4</v>
      </c>
      <c r="B33" s="32" t="s">
        <v>89</v>
      </c>
      <c r="C33" s="5" t="s">
        <v>80</v>
      </c>
      <c r="D33" s="5"/>
      <c r="E33" s="4" t="s">
        <v>90</v>
      </c>
      <c r="F33" s="4"/>
      <c r="G33" s="4"/>
      <c r="H33" s="4" t="s">
        <v>91</v>
      </c>
      <c r="I33" s="4"/>
    </row>
    <row r="34" spans="1:9" ht="54" customHeight="1" x14ac:dyDescent="0.3">
      <c r="A34" s="31">
        <v>5</v>
      </c>
      <c r="B34" s="32" t="s">
        <v>92</v>
      </c>
      <c r="C34" s="5" t="s">
        <v>80</v>
      </c>
      <c r="D34" s="5"/>
      <c r="E34" s="4" t="s">
        <v>93</v>
      </c>
      <c r="F34" s="4"/>
      <c r="G34" s="4"/>
      <c r="H34" s="4" t="s">
        <v>94</v>
      </c>
      <c r="I34" s="4"/>
    </row>
    <row r="35" spans="1:9" ht="54" customHeight="1" x14ac:dyDescent="0.3">
      <c r="A35" s="31">
        <v>6</v>
      </c>
      <c r="B35" s="32" t="s">
        <v>95</v>
      </c>
      <c r="C35" s="5" t="s">
        <v>80</v>
      </c>
      <c r="D35" s="5"/>
      <c r="E35" s="4" t="s">
        <v>96</v>
      </c>
      <c r="F35" s="4"/>
      <c r="G35" s="4"/>
      <c r="H35" s="4" t="s">
        <v>97</v>
      </c>
      <c r="I35" s="4"/>
    </row>
    <row r="36" spans="1:9" ht="54" customHeight="1" x14ac:dyDescent="0.3">
      <c r="A36" s="31">
        <v>7</v>
      </c>
      <c r="B36" s="32" t="s">
        <v>98</v>
      </c>
      <c r="C36" s="5" t="s">
        <v>80</v>
      </c>
      <c r="D36" s="5"/>
      <c r="E36" s="4" t="s">
        <v>99</v>
      </c>
      <c r="F36" s="4"/>
      <c r="G36" s="4"/>
      <c r="H36" s="4" t="s">
        <v>100</v>
      </c>
      <c r="I36" s="4"/>
    </row>
    <row r="37" spans="1:9" ht="54" customHeight="1" x14ac:dyDescent="0.3">
      <c r="A37" s="31">
        <v>8</v>
      </c>
      <c r="B37" s="32" t="s">
        <v>101</v>
      </c>
      <c r="C37" s="3" t="s">
        <v>102</v>
      </c>
      <c r="D37" s="3"/>
      <c r="E37" s="4" t="s">
        <v>103</v>
      </c>
      <c r="F37" s="4"/>
      <c r="G37" s="4"/>
      <c r="H37" s="4" t="s">
        <v>104</v>
      </c>
      <c r="I37" s="4"/>
    </row>
    <row r="38" spans="1:9" ht="54" customHeight="1" x14ac:dyDescent="0.3">
      <c r="A38" s="31">
        <v>9</v>
      </c>
      <c r="B38" s="32" t="s">
        <v>105</v>
      </c>
      <c r="C38" s="3" t="s">
        <v>102</v>
      </c>
      <c r="D38" s="3"/>
      <c r="E38" s="4" t="s">
        <v>106</v>
      </c>
      <c r="F38" s="4"/>
      <c r="G38" s="4"/>
      <c r="H38" s="4" t="s">
        <v>107</v>
      </c>
      <c r="I38" s="4"/>
    </row>
    <row r="39" spans="1:9" ht="54" customHeight="1" x14ac:dyDescent="0.3">
      <c r="A39" s="31">
        <v>10</v>
      </c>
      <c r="B39" s="32" t="s">
        <v>108</v>
      </c>
      <c r="C39" s="3" t="s">
        <v>102</v>
      </c>
      <c r="D39" s="3"/>
      <c r="E39" s="4" t="s">
        <v>109</v>
      </c>
      <c r="F39" s="4"/>
      <c r="G39" s="4"/>
      <c r="H39" s="4" t="s">
        <v>110</v>
      </c>
      <c r="I39" s="4"/>
    </row>
    <row r="40" spans="1:9" ht="54" customHeight="1" x14ac:dyDescent="0.3">
      <c r="A40" s="31">
        <v>11</v>
      </c>
      <c r="B40" s="32" t="s">
        <v>111</v>
      </c>
      <c r="C40" s="3" t="s">
        <v>102</v>
      </c>
      <c r="D40" s="3"/>
      <c r="E40" s="4" t="s">
        <v>112</v>
      </c>
      <c r="F40" s="4"/>
      <c r="G40" s="4"/>
      <c r="H40" s="4" t="s">
        <v>113</v>
      </c>
      <c r="I40" s="4"/>
    </row>
    <row r="41" spans="1:9" ht="54" customHeight="1" x14ac:dyDescent="0.3">
      <c r="A41" s="31">
        <v>12</v>
      </c>
      <c r="B41" s="32" t="s">
        <v>114</v>
      </c>
      <c r="C41" s="3" t="s">
        <v>102</v>
      </c>
      <c r="D41" s="3"/>
      <c r="E41" s="4" t="s">
        <v>115</v>
      </c>
      <c r="F41" s="4"/>
      <c r="G41" s="4"/>
      <c r="H41" s="4" t="s">
        <v>116</v>
      </c>
      <c r="I41" s="4"/>
    </row>
    <row r="42" spans="1:9" ht="54" customHeight="1" x14ac:dyDescent="0.3">
      <c r="A42" s="31">
        <v>13</v>
      </c>
      <c r="B42" s="32" t="s">
        <v>117</v>
      </c>
      <c r="C42" s="3" t="s">
        <v>102</v>
      </c>
      <c r="D42" s="3"/>
      <c r="E42" s="4" t="s">
        <v>118</v>
      </c>
      <c r="F42" s="4"/>
      <c r="G42" s="4"/>
      <c r="H42" s="4" t="s">
        <v>119</v>
      </c>
      <c r="I42" s="4"/>
    </row>
    <row r="43" spans="1:9" ht="54" customHeight="1" x14ac:dyDescent="0.3">
      <c r="A43" s="31">
        <v>14</v>
      </c>
      <c r="B43" s="32" t="s">
        <v>120</v>
      </c>
      <c r="C43" s="2" t="s">
        <v>121</v>
      </c>
      <c r="D43" s="2"/>
      <c r="E43" s="4" t="s">
        <v>122</v>
      </c>
      <c r="F43" s="4"/>
      <c r="G43" s="4"/>
      <c r="H43" s="4" t="s">
        <v>123</v>
      </c>
      <c r="I43" s="4"/>
    </row>
    <row r="44" spans="1:9" ht="54" customHeight="1" x14ac:dyDescent="0.3">
      <c r="A44" s="31">
        <v>15</v>
      </c>
      <c r="B44" s="32" t="s">
        <v>124</v>
      </c>
      <c r="C44" s="3" t="s">
        <v>102</v>
      </c>
      <c r="D44" s="3"/>
      <c r="E44" s="4" t="s">
        <v>125</v>
      </c>
      <c r="F44" s="4"/>
      <c r="G44" s="4"/>
      <c r="H44" s="4" t="s">
        <v>126</v>
      </c>
      <c r="I44" s="4"/>
    </row>
    <row r="45" spans="1:9" ht="54" customHeight="1" x14ac:dyDescent="0.3">
      <c r="A45" s="31">
        <v>16</v>
      </c>
      <c r="B45" s="32" t="s">
        <v>127</v>
      </c>
      <c r="C45" s="3" t="s">
        <v>102</v>
      </c>
      <c r="D45" s="3"/>
      <c r="E45" s="4" t="s">
        <v>128</v>
      </c>
      <c r="F45" s="4"/>
      <c r="G45" s="4"/>
      <c r="H45" s="4" t="s">
        <v>129</v>
      </c>
      <c r="I45" s="4"/>
    </row>
    <row r="46" spans="1:9" ht="54" customHeight="1" x14ac:dyDescent="0.3">
      <c r="A46" s="31">
        <v>17</v>
      </c>
      <c r="B46" s="32" t="s">
        <v>130</v>
      </c>
      <c r="C46" s="3" t="s">
        <v>102</v>
      </c>
      <c r="D46" s="3"/>
      <c r="E46" s="4" t="s">
        <v>131</v>
      </c>
      <c r="F46" s="4"/>
      <c r="G46" s="4"/>
      <c r="H46" s="4" t="s">
        <v>132</v>
      </c>
      <c r="I46" s="4"/>
    </row>
    <row r="47" spans="1:9" ht="54" customHeight="1" x14ac:dyDescent="0.3">
      <c r="A47" s="31">
        <v>18</v>
      </c>
      <c r="B47" s="32" t="s">
        <v>133</v>
      </c>
      <c r="C47" s="5" t="s">
        <v>80</v>
      </c>
      <c r="D47" s="5"/>
      <c r="E47" s="4" t="s">
        <v>134</v>
      </c>
      <c r="F47" s="4"/>
      <c r="G47" s="4"/>
      <c r="H47" s="4" t="s">
        <v>135</v>
      </c>
      <c r="I47" s="4"/>
    </row>
    <row r="49" spans="1:9" ht="36" customHeight="1" x14ac:dyDescent="0.3">
      <c r="A49" s="1" t="s">
        <v>136</v>
      </c>
      <c r="B49" s="1"/>
      <c r="C49" s="1"/>
      <c r="D49" s="1"/>
      <c r="E49" s="1"/>
      <c r="F49" s="1"/>
      <c r="G49" s="1"/>
      <c r="H49" s="1"/>
      <c r="I49" s="1"/>
    </row>
  </sheetData>
  <mergeCells count="58">
    <mergeCell ref="C47:D47"/>
    <mergeCell ref="E47:G47"/>
    <mergeCell ref="H47:I47"/>
    <mergeCell ref="A49:I49"/>
    <mergeCell ref="C45:D45"/>
    <mergeCell ref="E45:G45"/>
    <mergeCell ref="H45:I45"/>
    <mergeCell ref="C46:D46"/>
    <mergeCell ref="E46:G46"/>
    <mergeCell ref="H46:I46"/>
    <mergeCell ref="C43:D43"/>
    <mergeCell ref="E43:G43"/>
    <mergeCell ref="H43:I43"/>
    <mergeCell ref="C44:D44"/>
    <mergeCell ref="E44:G44"/>
    <mergeCell ref="H44:I44"/>
    <mergeCell ref="C41:D41"/>
    <mergeCell ref="E41:G41"/>
    <mergeCell ref="H41:I41"/>
    <mergeCell ref="C42:D42"/>
    <mergeCell ref="E42:G42"/>
    <mergeCell ref="H42:I42"/>
    <mergeCell ref="C39:D39"/>
    <mergeCell ref="E39:G39"/>
    <mergeCell ref="H39:I39"/>
    <mergeCell ref="C40:D40"/>
    <mergeCell ref="E40:G40"/>
    <mergeCell ref="H40:I40"/>
    <mergeCell ref="C37:D37"/>
    <mergeCell ref="E37:G37"/>
    <mergeCell ref="H37:I37"/>
    <mergeCell ref="C38:D38"/>
    <mergeCell ref="E38:G38"/>
    <mergeCell ref="H38:I38"/>
    <mergeCell ref="C35:D35"/>
    <mergeCell ref="E35:G35"/>
    <mergeCell ref="H35:I35"/>
    <mergeCell ref="C36:D36"/>
    <mergeCell ref="E36:G36"/>
    <mergeCell ref="H36:I36"/>
    <mergeCell ref="C33:D33"/>
    <mergeCell ref="E33:G33"/>
    <mergeCell ref="H33:I33"/>
    <mergeCell ref="C34:D34"/>
    <mergeCell ref="E34:G34"/>
    <mergeCell ref="H34:I34"/>
    <mergeCell ref="C31:D31"/>
    <mergeCell ref="E31:G31"/>
    <mergeCell ref="H31:I31"/>
    <mergeCell ref="C32:D32"/>
    <mergeCell ref="E32:G32"/>
    <mergeCell ref="H32:I32"/>
    <mergeCell ref="C29:D29"/>
    <mergeCell ref="E29:G29"/>
    <mergeCell ref="H29:I29"/>
    <mergeCell ref="C30:D30"/>
    <mergeCell ref="E30:G30"/>
    <mergeCell ref="H30:I3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5"/>
  <sheetViews>
    <sheetView showGridLines="0" zoomScaleNormal="100" workbookViewId="0"/>
  </sheetViews>
  <sheetFormatPr defaultColWidth="8.6640625" defaultRowHeight="14.4" x14ac:dyDescent="0.3"/>
  <cols>
    <col min="1" max="1" width="58" customWidth="1"/>
    <col min="2" max="2" width="22" customWidth="1"/>
    <col min="3" max="3" width="12" customWidth="1"/>
    <col min="4" max="4" width="60" customWidth="1"/>
  </cols>
  <sheetData>
    <row r="1" spans="1:4" ht="21" x14ac:dyDescent="0.4">
      <c r="A1" s="8" t="s">
        <v>137</v>
      </c>
    </row>
    <row r="2" spans="1:4" x14ac:dyDescent="0.3">
      <c r="A2" s="9" t="s">
        <v>138</v>
      </c>
    </row>
    <row r="4" spans="1:4" x14ac:dyDescent="0.3">
      <c r="A4" s="11" t="s">
        <v>139</v>
      </c>
      <c r="B4" s="11" t="s">
        <v>140</v>
      </c>
      <c r="C4" s="11" t="s">
        <v>141</v>
      </c>
      <c r="D4" s="11" t="s">
        <v>142</v>
      </c>
    </row>
    <row r="5" spans="1:4" ht="30" customHeight="1" x14ac:dyDescent="0.3">
      <c r="A5" s="32" t="s">
        <v>143</v>
      </c>
      <c r="B5" s="32" t="s">
        <v>144</v>
      </c>
      <c r="C5" s="37" t="s">
        <v>145</v>
      </c>
      <c r="D5" s="32" t="s">
        <v>146</v>
      </c>
    </row>
    <row r="6" spans="1:4" ht="30" customHeight="1" x14ac:dyDescent="0.3">
      <c r="A6" s="32" t="s">
        <v>147</v>
      </c>
      <c r="B6" s="32" t="s">
        <v>148</v>
      </c>
      <c r="C6" s="37" t="s">
        <v>145</v>
      </c>
      <c r="D6" s="32" t="s">
        <v>149</v>
      </c>
    </row>
    <row r="7" spans="1:4" ht="30" customHeight="1" x14ac:dyDescent="0.3">
      <c r="A7" s="32" t="s">
        <v>150</v>
      </c>
      <c r="B7" s="32" t="s">
        <v>151</v>
      </c>
      <c r="C7" s="37" t="s">
        <v>145</v>
      </c>
      <c r="D7" s="32" t="s">
        <v>152</v>
      </c>
    </row>
    <row r="8" spans="1:4" ht="30" customHeight="1" x14ac:dyDescent="0.3">
      <c r="A8" s="32" t="s">
        <v>153</v>
      </c>
      <c r="B8" s="32" t="s">
        <v>154</v>
      </c>
      <c r="C8" s="37" t="s">
        <v>145</v>
      </c>
      <c r="D8" s="32" t="s">
        <v>155</v>
      </c>
    </row>
    <row r="9" spans="1:4" ht="30" customHeight="1" x14ac:dyDescent="0.3">
      <c r="A9" s="32" t="s">
        <v>156</v>
      </c>
      <c r="B9" s="32" t="s">
        <v>154</v>
      </c>
      <c r="C9" s="38" t="s">
        <v>157</v>
      </c>
      <c r="D9" s="32" t="s">
        <v>158</v>
      </c>
    </row>
    <row r="10" spans="1:4" ht="30" customHeight="1" x14ac:dyDescent="0.3">
      <c r="A10" s="32" t="s">
        <v>159</v>
      </c>
      <c r="B10" s="32" t="s">
        <v>160</v>
      </c>
      <c r="C10" s="37" t="s">
        <v>145</v>
      </c>
      <c r="D10" s="32" t="s">
        <v>161</v>
      </c>
    </row>
    <row r="11" spans="1:4" ht="30" customHeight="1" x14ac:dyDescent="0.3">
      <c r="A11" s="32" t="s">
        <v>162</v>
      </c>
      <c r="B11" s="32" t="s">
        <v>163</v>
      </c>
      <c r="C11" s="37" t="s">
        <v>145</v>
      </c>
      <c r="D11" s="32" t="s">
        <v>164</v>
      </c>
    </row>
    <row r="12" spans="1:4" ht="30" customHeight="1" x14ac:dyDescent="0.3">
      <c r="A12" s="32" t="s">
        <v>165</v>
      </c>
      <c r="B12" s="32" t="s">
        <v>166</v>
      </c>
      <c r="C12" s="37" t="s">
        <v>145</v>
      </c>
      <c r="D12" s="32" t="s">
        <v>167</v>
      </c>
    </row>
    <row r="13" spans="1:4" ht="30" customHeight="1" x14ac:dyDescent="0.3">
      <c r="A13" s="32" t="s">
        <v>168</v>
      </c>
      <c r="B13" s="32" t="s">
        <v>169</v>
      </c>
      <c r="C13" s="37" t="s">
        <v>145</v>
      </c>
      <c r="D13" s="32" t="s">
        <v>170</v>
      </c>
    </row>
    <row r="14" spans="1:4" ht="30" customHeight="1" x14ac:dyDescent="0.3">
      <c r="A14" s="32" t="s">
        <v>171</v>
      </c>
      <c r="B14" s="32" t="s">
        <v>172</v>
      </c>
      <c r="C14" s="37" t="s">
        <v>145</v>
      </c>
      <c r="D14" s="32" t="s">
        <v>173</v>
      </c>
    </row>
    <row r="15" spans="1:4" ht="30" customHeight="1" x14ac:dyDescent="0.3">
      <c r="A15" s="32" t="s">
        <v>174</v>
      </c>
      <c r="B15" s="32" t="s">
        <v>175</v>
      </c>
      <c r="C15" s="37" t="s">
        <v>145</v>
      </c>
      <c r="D15" s="32" t="s">
        <v>176</v>
      </c>
    </row>
    <row r="16" spans="1:4" ht="30" customHeight="1" x14ac:dyDescent="0.3">
      <c r="A16" s="32" t="s">
        <v>177</v>
      </c>
      <c r="B16" s="32" t="s">
        <v>178</v>
      </c>
      <c r="C16" s="38" t="s">
        <v>157</v>
      </c>
      <c r="D16" s="32" t="s">
        <v>179</v>
      </c>
    </row>
    <row r="17" spans="1:4" ht="30" customHeight="1" x14ac:dyDescent="0.3">
      <c r="A17" s="32" t="s">
        <v>180</v>
      </c>
      <c r="B17" s="32" t="s">
        <v>181</v>
      </c>
      <c r="C17" s="37" t="s">
        <v>145</v>
      </c>
      <c r="D17" s="32" t="s">
        <v>182</v>
      </c>
    </row>
    <row r="18" spans="1:4" ht="30" customHeight="1" x14ac:dyDescent="0.3">
      <c r="A18" s="32" t="s">
        <v>183</v>
      </c>
      <c r="B18" s="32" t="s">
        <v>184</v>
      </c>
      <c r="C18" s="38" t="s">
        <v>157</v>
      </c>
      <c r="D18" s="32" t="s">
        <v>185</v>
      </c>
    </row>
    <row r="19" spans="1:4" ht="30" customHeight="1" x14ac:dyDescent="0.3">
      <c r="A19" s="32" t="s">
        <v>186</v>
      </c>
      <c r="B19" s="32" t="s">
        <v>187</v>
      </c>
      <c r="C19" s="38" t="s">
        <v>157</v>
      </c>
      <c r="D19" s="32" t="s">
        <v>188</v>
      </c>
    </row>
    <row r="20" spans="1:4" ht="30" customHeight="1" x14ac:dyDescent="0.3">
      <c r="A20" s="32" t="s">
        <v>189</v>
      </c>
      <c r="B20" s="32" t="s">
        <v>154</v>
      </c>
      <c r="C20" s="37" t="s">
        <v>145</v>
      </c>
      <c r="D20" s="32" t="s">
        <v>190</v>
      </c>
    </row>
    <row r="21" spans="1:4" ht="30" customHeight="1" x14ac:dyDescent="0.3">
      <c r="A21" s="32" t="s">
        <v>191</v>
      </c>
      <c r="B21" s="32" t="s">
        <v>192</v>
      </c>
      <c r="C21" s="37" t="s">
        <v>145</v>
      </c>
      <c r="D21" s="32" t="s">
        <v>193</v>
      </c>
    </row>
    <row r="23" spans="1:4" x14ac:dyDescent="0.3">
      <c r="A23" s="22" t="s">
        <v>194</v>
      </c>
      <c r="B23" s="39">
        <f>COUNTIF(C5:C21,"Covered")</f>
        <v>13</v>
      </c>
    </row>
    <row r="24" spans="1:4" x14ac:dyDescent="0.3">
      <c r="A24" s="22" t="s">
        <v>195</v>
      </c>
      <c r="B24" s="39">
        <f>COUNTIF(C5:C21,"Partial")</f>
        <v>4</v>
      </c>
    </row>
    <row r="25" spans="1:4" x14ac:dyDescent="0.3">
      <c r="A25" s="22" t="s">
        <v>196</v>
      </c>
      <c r="B25" s="39">
        <f>COUNTA(A5:A21)-B23-B24</f>
        <v>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Components Map</vt:lpstr>
      <vt:lpstr>Examiner review</vt:lpstr>
      <vt:lpstr>Booklet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Anshull Mishra</cp:lastModifiedBy>
  <cp:revision>0</cp:revision>
  <dcterms:created xsi:type="dcterms:W3CDTF">2026-10-12T08:18:41Z</dcterms:created>
  <dcterms:modified xsi:type="dcterms:W3CDTF">2026-10-12T16:57:02Z</dcterms:modified>
  <dc:language>en-US</dc:language>
</cp:coreProperties>
</file>